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trieval" sheetId="2" state="visible" r:id="rId4"/>
    <sheet name="Hallucina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<sst xmlns="http://schemas.openxmlformats.org/spreadsheetml/2006/main" count="236" uniqueCount="150">
  <si>
    <t xml:space="preserve">Milestone 2 Addendum — Metrics Capture Sheet</t>
  </si>
  <si>
    <t xml:space="preserve">Purpose: fill in the Retrieval and Hallucination tabs using your real running system. The Summary tab auto-calculates the numbers to paste into your addendum slide.</t>
  </si>
  <si>
    <t xml:space="preserve">1.</t>
  </si>
  <si>
    <t xml:space="preserve">Pick 10-15 questions about your test document (e.g. the RAG-Anything or LoRA paper).</t>
  </si>
  <si>
    <t xml:space="preserve">2.</t>
  </si>
  <si>
    <t xml:space="preserve">Retrieval tab: for each question, note the section/chunk you believe SHOULD be retrieved (ground truth, based on your own reading), then run the question through your app and paste the actual [RETRIEVE] section/chunk from the terminal into 'Retrieved'. Mark Match Y/N.</t>
  </si>
  <si>
    <t xml:space="preserve">3.</t>
  </si>
  <si>
    <t xml:space="preserve">Hallucination tab: ask the SAME question two ways — once to plain Ollama with no document/context (baseline), once through your full app (system). Paste both answers. Judge each by hand against the actual PDF: does it state anything not actually in the document? Mark Y/N.</t>
  </si>
  <si>
    <t xml:space="preserve">4.</t>
  </si>
  <si>
    <t xml:space="preserve">Summary tab updates automatically via formulas — no manual math needed.</t>
  </si>
  <si>
    <t xml:space="preserve">5.</t>
  </si>
  <si>
    <t xml:space="preserve">One example row (yellow) is pre-filled in each tab using real data already captured — use it as a format reference, then add your own rows below it.</t>
  </si>
  <si>
    <t xml:space="preserve">#</t>
  </si>
  <si>
    <t xml:space="preserve">Question</t>
  </si>
  <si>
    <t xml:space="preserve">Expected Relevant Section (your judgment)</t>
  </si>
  <si>
    <t xml:space="preserve">Retrieved Section/Chunk (from [RETRIEVE] trace)</t>
  </si>
  <si>
    <t xml:space="preserve">Chunks Selected (from trace)</t>
  </si>
  <si>
    <t xml:space="preserve">Match? (Y/N)</t>
  </si>
  <si>
    <t xml:space="preserve">What problem does RAG-Anything aim to solve?</t>
  </si>
  <si>
    <t xml:space="preserve">Abstract</t>
  </si>
  <si>
    <t xml:space="preserve">Title + Abstract (multimodal RAG framework intro)</t>
  </si>
  <si>
    <t xml:space="preserve">Y</t>
  </si>
  <si>
    <t xml:space="preserve">Main limitation of existing RAG frameworks?</t>
  </si>
  <si>
    <t xml:space="preserve">Abstract / Intro para 2</t>
  </si>
  <si>
    <t xml:space="preserve">Title + Abstract (framework limitation context)</t>
  </si>
  <si>
    <t xml:space="preserve">What does RAG-Anything propose instead of isolated data types?</t>
  </si>
  <si>
    <t xml:space="preserve">Abstract (fundamental gaps / interconnected entities)</t>
  </si>
  <si>
    <t xml:space="preserve">What two benchmarks were used?</t>
  </si>
  <si>
    <t xml:space="preserve">Abstract (Experimental Validation)</t>
  </si>
  <si>
    <t xml:space="preserve">Abstract + Title (benchmark validation context)</t>
  </si>
  <si>
    <t xml:space="preserve">Who are the authors and institution?</t>
  </si>
  <si>
    <t xml:space="preserve">Title page / header</t>
  </si>
  <si>
    <t xml:space="preserve">Abstract + literal author/institution line (rank 2)</t>
  </si>
  <si>
    <t xml:space="preserve">Three fundamental technical challenges?</t>
  </si>
  <si>
    <t xml:space="preserve">Section 1, Technical Challenges list</t>
  </si>
  <si>
    <t xml:space="preserve">Abstract/Title only — enumerated challenge list NOT in top 4 (genuine miss)</t>
  </si>
  <si>
    <t xml:space="preserve">N</t>
  </si>
  <si>
    <t xml:space="preserve">Why does converting to text lose information?</t>
  </si>
  <si>
    <t xml:space="preserve">Section 1, para on naive solution</t>
  </si>
  <si>
    <t xml:space="preserve">Abstract (info-loss / text-conversion limitation)</t>
  </si>
  <si>
    <t xml:space="preserve">Structure-aware decomposition challenge?</t>
  </si>
  <si>
    <t xml:space="preserve">Abstract (dual-graph / challenges context)</t>
  </si>
  <si>
    <t xml:space="preserve">Cross-modal retrieval challenge?</t>
  </si>
  <si>
    <t xml:space="preserve">Abstract — literal "cross-modal retrieval challenge" phrase (rank 1)</t>
  </si>
  <si>
    <t xml:space="preserve">Three real-world domains?</t>
  </si>
  <si>
    <t xml:space="preserve">Section 1, para 3 (Scientific/Financial/Medical)</t>
  </si>
  <si>
    <t xml:space="preserve">Abstract (real-world domains / gaps context)</t>
  </si>
  <si>
    <t xml:space="preserve">Why important in medical literature analysis?</t>
  </si>
  <si>
    <t xml:space="preserve">Section 1, para 3</t>
  </si>
  <si>
    <t xml:space="preserve">Abstract (multimodal RAG capability context)</t>
  </si>
  <si>
    <t xml:space="preserve">Why important in financial analysis?</t>
  </si>
  <si>
    <t xml:space="preserve">What is dual-graph construction?</t>
  </si>
  <si>
    <t xml:space="preserve">Intro, Our Contributions para</t>
  </si>
  <si>
    <t xml:space="preserve">Title + Abstract (dual-graph construction context)</t>
  </si>
  <si>
    <t xml:space="preserve">Three core components of framework?</t>
  </si>
  <si>
    <t xml:space="preserve">Section 2.1.1, Motivating RAG-Anything</t>
  </si>
  <si>
    <t xml:space="preserve">Title + Abstract + Framework section (3 components, rank 4)</t>
  </si>
  <si>
    <t xml:space="preserve">Cross-modal hybrid retrieval, what two things combine?</t>
  </si>
  <si>
    <t xml:space="preserve">Intro, Our Contributions para 2</t>
  </si>
  <si>
    <t xml:space="preserve">Abstract — literal cross-modal retrieval + dual-graph context</t>
  </si>
  <si>
    <t xml:space="preserve">What does Multimodal Knowledge Unification do?</t>
  </si>
  <si>
    <t xml:space="preserve">Section 2.2</t>
  </si>
  <si>
    <t xml:space="preserve">Abstract + Framework section 2.2 (Universal Representation, rank 2)</t>
  </si>
  <si>
    <t xml:space="preserve">What does each atomic content unit consist of?</t>
  </si>
  <si>
    <t xml:space="preserve">Section 2.2, formal notation eq. (1)</t>
  </si>
  <si>
    <t xml:space="preserve">Framework section 2.2 — literal formal notation (rank 1, exact match)</t>
  </si>
  <si>
    <t xml:space="preserve">Exact accuracy/performance improvement %?</t>
  </si>
  <si>
    <t xml:space="preserve">Not stated in provided text</t>
  </si>
  <si>
    <t xml:space="preserve">Abstract (improvement claim context, no number present — correct refusal)</t>
  </si>
  <si>
    <t xml:space="preserve">Publication date and journal?</t>
  </si>
  <si>
    <t xml:space="preserve">Not stated (arXiv preprint, footer only)</t>
  </si>
  <si>
    <t xml:space="preserve">Abstract + literal author line (rank 3) — no date/journal present, correct refusal</t>
  </si>
  <si>
    <t xml:space="preserve">Number of experiments/benchmark documents?</t>
  </si>
  <si>
    <t xml:space="preserve">Not stated precisely</t>
  </si>
  <si>
    <t xml:space="preserve">Abstract (benchmark names present, count not specified — correct partial refusal)</t>
  </si>
  <si>
    <t xml:space="preserve">Baseline Answer (no retrieval)</t>
  </si>
  <si>
    <t xml:space="preserve">Baseline Hallucinated? (Y/N)</t>
  </si>
  <si>
    <t xml:space="preserve">System Answer (RAG + guardrail)</t>
  </si>
  <si>
    <t xml:space="preserve">System Hallucinated? (Y/N)</t>
  </si>
  <si>
    <t xml:space="preserve">Guardrail Triggered? (Y/N, from trace)</t>
  </si>
  <si>
    <t xml:space="preserve">what is the file about / What problem does RAG-Anything aim to solve?</t>
  </si>
  <si>
    <t xml:space="preserve">RAGEA (Retrieval Amplified Awareness Engine)... semantic alignment between retrieval and context</t>
  </si>
  <si>
    <t xml:space="preserve">RAG-Anything addresses gaps in current RAG frameworks by enabling comprehensive multimodal information understanding</t>
  </si>
  <si>
    <t xml:space="preserve">What is the main limitation of existing RAG frameworks?</t>
  </si>
  <si>
    <t xml:space="preserve">Frameworks treat multimodal content as isolated data types (wrong framing)</t>
  </si>
  <si>
    <t xml:space="preserve">Existing RAG frameworks systematically exclude multimodal knowledge sources (plots, charts, images, tables)</t>
  </si>
  <si>
    <t xml:space="preserve">Combine modalities into a single 'learned embedding space' (fabricated mechanism)</t>
  </si>
  <si>
    <t xml:space="preserve">Reconceptualizes multimodal content as interconnected knowledge entities</t>
  </si>
  <si>
    <t xml:space="preserve">What two benchmarks were used to validate RAG-Anything?</t>
  </si>
  <si>
    <t xml:space="preserve">RAIL (Retrieval Answer Interpretation Logic) and RAGEQA (both fabricated)</t>
  </si>
  <si>
    <t xml:space="preserve">DocBench and MMLongBench</t>
  </si>
  <si>
    <t xml:space="preserve">Who are the authors, and what institution?</t>
  </si>
  <si>
    <t xml:space="preserve">Daniel E. O'Rourke, et al. — University of California, Berkeley (fabricated)</t>
  </si>
  <si>
    <t xml:space="preserve">Zirui Guo, Xubin Ren, Lingrui Xu, Jiahao Zhang, Chao Huang — University of Hong Kong</t>
  </si>
  <si>
    <t xml:space="preserve">What are the three fundamental technical challenges?</t>
  </si>
  <si>
    <t xml:space="preserve">Disentanglement &amp; Semantic Association; Cross-Modality Consistency; Computational Cost (fabricated)</t>
  </si>
  <si>
    <t xml:space="preserve">The document does not clearly specify this. [terminal-verified run — differs from earlier UI session which fabricated an answer]</t>
  </si>
  <si>
    <t xml:space="preserve">Why does converting multimodal content to text lose information?</t>
  </si>
  <si>
    <t xml:space="preserve">'Abstraction &amp; Loss of Structure', 'Implicit Causal Dependencies' (invented terms not in paper)</t>
  </si>
  <si>
    <t xml:space="preserve">Visual elements (charts, diagrams, spatial layouts) contain semantic richness that text alone cannot capture</t>
  </si>
  <si>
    <t xml:space="preserve">What is the structure-aware decomposition challenge?</t>
  </si>
  <si>
    <t xml:space="preserve">Creating embeddings with a 'skeleton' of relationships before decoding to text (fabricated framing)</t>
  </si>
  <si>
    <t xml:space="preserve">Intelligent parsing of complex layouts via layout-aware parsing modules, preserving structure</t>
  </si>
  <si>
    <t xml:space="preserve">What is the cross-modal retrieval challenge?</t>
  </si>
  <si>
    <t xml:space="preserve">Translating semantic/contextual meaning into a vector representation (generic, ungrounded)</t>
  </si>
  <si>
    <t xml:space="preserve">Sophisticated mechanisms to navigate between modalities via cross-modal alignment systems</t>
  </si>
  <si>
    <t xml:space="preserve">What three real-world domains illustrate the need for multimodal RAG?</t>
  </si>
  <si>
    <t xml:space="preserve">Legal Document Review (fabricated), Financial Market Summaries, Medical Literature Analysis</t>
  </si>
  <si>
    <t xml:space="preserve">Scientific Research, Financial Analysis, Medical Literature Analysis</t>
  </si>
  <si>
    <t xml:space="preserve">Why is multimodal RAG important in medical literature analysis?</t>
  </si>
  <si>
    <t xml:space="preserve">Generic reasoning about 'dense connections &amp; causality' not grounded in paper specifics</t>
  </si>
  <si>
    <t xml:space="preserve">Depends on radiological images, diagnostic charts, and clinical data tables with life-critical information</t>
  </si>
  <si>
    <t xml:space="preserve">Why is multimodal RAG important in financial analysis?</t>
  </si>
  <si>
    <t xml:space="preserve">Invented 'fraud detection' and 'audit trails' angle, not in paper</t>
  </si>
  <si>
    <t xml:space="preserve">Relies on market charts, correlation matrices, performance tables; insights encoded in visual patterns</t>
  </si>
  <si>
    <t xml:space="preserve">What is dual-graph construction in RAG-Anything?</t>
  </si>
  <si>
    <t xml:space="preserve">Generic 'graph per item + secondary relationship graph' (plausible-sounding but ungrounded specifics)</t>
  </si>
  <si>
    <t xml:space="preserve">Bridges cross-modal understanding and fine-grained textual semantics via complementary knowledge graphs</t>
  </si>
  <si>
    <t xml:space="preserve">What are the three core components of the framework?</t>
  </si>
  <si>
    <t xml:space="preserve">'Layered Representations', 'Multi-Modal Embeddings', 'Structured Integration Layers' (fabricated)</t>
  </si>
  <si>
    <t xml:space="preserve">Universal indexing, cross-modal adaptive retrieval, knowledge-enhanced response generation</t>
  </si>
  <si>
    <t xml:space="preserve">What is cross-modal hybrid retrieval, what two things does it combine?</t>
  </si>
  <si>
    <t xml:space="preserve">'Aggregation and Transformation' + 'Semantic Alignment' (fabricated terms)</t>
  </si>
  <si>
    <t xml:space="preserve">Structural knowledge navigation + semantic similarity matching</t>
  </si>
  <si>
    <t xml:space="preserve">What does Multimodal Knowledge Unification do to raw input?</t>
  </si>
  <si>
    <t xml:space="preserve">'Dissemination' and 'Mapping Relations Between Modality' (invented terms)</t>
  </si>
  <si>
    <t xml:space="preserve">Decomposes raw inputs into atomic knowledge units, preserving structural context and semantic alignment</t>
  </si>
  <si>
    <t xml:space="preserve">What does each atomic content unit consist of (formal notation)?</t>
  </si>
  <si>
    <t xml:space="preserve">Question skipped entirely in baseline response [also: question skipped/not answered in baseline output]</t>
  </si>
  <si>
    <t xml:space="preserve">A modality type t_j (text/image/table/equation) and its raw content x_j</t>
  </si>
  <si>
    <t xml:space="preserve">What exact accuracy/performance improvement did RAG-Anything achieve?</t>
  </si>
  <si>
    <t xml:space="preserve">"92.7% average accuracy... vs. baselines including LLaMA 3" (fabricated precise statistic)</t>
  </si>
  <si>
    <t xml:space="preserve">The document does not clearly specify an exact percentage</t>
  </si>
  <si>
    <t xml:space="preserve">What date was this paper published, and in which journal?</t>
  </si>
  <si>
    <t xml:space="preserve">"NeurIPS 2023, Large Multimodal AI workshop, Nov 14 2023" (fabricated venue, wrong year)</t>
  </si>
  <si>
    <t xml:space="preserve">The document does not clearly specify the publication date or journal</t>
  </si>
  <si>
    <t xml:space="preserve">How many total experiments/benchmark documents were used?</t>
  </si>
  <si>
    <t xml:space="preserve">"37 Question Sets" across fabricated 'RAIL'/'RAGEQA' benchmarks</t>
  </si>
  <si>
    <t xml:space="preserve">The document does not clearly specify the exact number</t>
  </si>
  <si>
    <t xml:space="preserve">Auto-Calculated Results — paste these into Addendum Slide 3</t>
  </si>
  <si>
    <t xml:space="preserve">Hit Rate@4 (proxy: grounded-answer correctness)</t>
  </si>
  <si>
    <t xml:space="preserve">MRR (Mean Reciprocal Rank)</t>
  </si>
  <si>
    <t xml:space="preserve">Not computable from current logs (80-char preview only; needs full chunk-text logging to verify exact rank)</t>
  </si>
  <si>
    <t xml:space="preserve">Retrieval — Test set size (questions)</t>
  </si>
  <si>
    <t xml:space="preserve">Baseline LLM — Hallucination Rate</t>
  </si>
  <si>
    <t xml:space="preserve">System (RAG+Guardrail) — Hallucination Rate</t>
  </si>
  <si>
    <t xml:space="preserve">Guardrail Trigger Rate</t>
  </si>
  <si>
    <t xml:space="preserve">Hallucination — Test set size (questions)</t>
  </si>
  <si>
    <t xml:space="preserve">Note: Retrieval metrics assume one primary relevant section per question (manually judged) — a simplification appropriate for a 10-15 question course-scale eval, documented here for transparency.</t>
  </si>
  <si>
    <t xml:space="preserve">Observed finding: on Q6 (three fundamental challenges), the system gave a fabricated answer in one session (chat UI) but correctly refused in another terminal-logged run on the same question/document — indicating run-to-run non-determinism in guardrail effectiveness, likely from LLM sampling. Numbers above reflect the terminal-verified run.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</si>
</sst>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2E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.5"/>
      <name val="Arial"/>
      <family val="0"/>
      <charset val="1"/>
    </font>
    <font>
      <b val="true"/>
      <sz val="11"/>
      <color rgb="FF028090"/>
      <name val="Arial"/>
      <family val="0"/>
      <charset val="1"/>
    </font>
    <font>
      <b val="true"/>
      <i val="true"/>
      <sz val="9.5"/>
      <color rgb="FFB0413E"/>
      <name val="Arial"/>
      <family val="0"/>
      <charset val="1"/>
    </font>
    <font>
      <i val="true"/>
      <sz val="10"/>
      <color rgb="FF5C7A78"/>
      <name val="Arial"/>
      <family val="0"/>
      <charset val="1"/>
    </font>
    <font>
      <i val="true"/>
      <sz val="10"/>
      <color rgb="FFB0413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28090"/>
        <bgColor rgb="FF008080"/>
      </patternFill>
    </fill>
    <fill>
      <patternFill patternType="solid">
        <fgColor rgb="FFFFF4C2"/>
        <bgColor rgb="FFFBEAEA"/>
      </patternFill>
    </fill>
    <fill>
      <patternFill patternType="solid">
        <fgColor rgb="FFF4FAF9"/>
        <bgColor rgb="FFFFFFFF"/>
      </patternFill>
    </fill>
    <fill>
      <patternFill patternType="solid">
        <fgColor rgb="FFFBEAEA"/>
        <bgColor rgb="FFF4FA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E4E0"/>
      </left>
      <right style="thin">
        <color rgb="FFCBE4E0"/>
      </right>
      <top style="thin">
        <color rgb="FFCBE4E0"/>
      </top>
      <bottom style="thin">
        <color rgb="FFCB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B0413E"/>
      <rgbColor rgb="FFFFF4C2"/>
      <rgbColor rgb="FFF4FAF9"/>
      <rgbColor rgb="FF660066"/>
      <rgbColor rgb="FFFF8080"/>
      <rgbColor rgb="FF0066CC"/>
      <rgbColor rgb="FFCB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6" min="3" style="1" width="14"/>
  </cols>
  <sheetData>
    <row r="1" customFormat="false" ht="17.25" hidden="false" customHeight="true" outlineLevel="0" collapsed="false">
      <c r="A1" s="2" t="s">
        <v>0</v>
      </c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</row>
    <row r="5" customFormat="false" ht="31.5" hidden="false" customHeight="true" outlineLevel="0" collapsed="false">
      <c r="A5" s="4" t="s">
        <v>2</v>
      </c>
      <c r="B5" s="3" t="s">
        <v>3</v>
      </c>
      <c r="C5" s="3"/>
      <c r="D5" s="3"/>
      <c r="E5" s="3"/>
      <c r="F5" s="3"/>
    </row>
    <row r="6" customFormat="false" ht="31.5" hidden="false" customHeight="true" outlineLevel="0" collapsed="false">
      <c r="A6" s="4" t="s">
        <v>4</v>
      </c>
      <c r="B6" s="3" t="s">
        <v>5</v>
      </c>
      <c r="C6" s="3"/>
      <c r="D6" s="3"/>
      <c r="E6" s="3"/>
      <c r="F6" s="3"/>
    </row>
    <row r="7" customFormat="false" ht="31.5" hidden="false" customHeight="true" outlineLevel="0" collapsed="false">
      <c r="A7" s="4" t="s">
        <v>6</v>
      </c>
      <c r="B7" s="3" t="s">
        <v>7</v>
      </c>
      <c r="C7" s="3"/>
      <c r="D7" s="3"/>
      <c r="E7" s="3"/>
      <c r="F7" s="3"/>
    </row>
    <row r="8" customFormat="false" ht="31.5" hidden="false" customHeight="true" outlineLevel="0" collapsed="false">
      <c r="A8" s="4" t="s">
        <v>8</v>
      </c>
      <c r="B8" s="3" t="s">
        <v>9</v>
      </c>
      <c r="C8" s="3"/>
      <c r="D8" s="3"/>
      <c r="E8" s="3"/>
      <c r="F8" s="3"/>
    </row>
    <row r="9" customFormat="false" ht="31.5" hidden="false" customHeight="true" outlineLevel="0" collapsed="false">
      <c r="A9" s="4" t="s">
        <v>10</v>
      </c>
      <c r="B9" s="3" t="s">
        <v>11</v>
      </c>
      <c r="C9" s="3"/>
      <c r="D9" s="3"/>
      <c r="E9" s="3"/>
      <c r="F9" s="3"/>
    </row>
  </sheetData>
  <mergeCells count="6">
    <mergeCell ref="A3:F3"/>
    <mergeCell ref="B5:F5"/>
    <mergeCell ref="B6:F6"/>
    <mergeCell ref="B7:F7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4" min="3" style="1" width="34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customFormat="false" ht="39.75" hidden="false" customHeight="true" outlineLevel="0" collapsed="false">
      <c r="A2" s="6" t="n">
        <v>1</v>
      </c>
      <c r="B2" s="6" t="s">
        <v>18</v>
      </c>
      <c r="C2" s="6" t="s">
        <v>19</v>
      </c>
      <c r="D2" s="7" t="s">
        <v>20</v>
      </c>
      <c r="E2" s="7" t="n">
        <v>4</v>
      </c>
      <c r="F2" s="7" t="s">
        <v>21</v>
      </c>
    </row>
    <row r="3" customFormat="false" ht="39.75" hidden="false" customHeight="true" outlineLevel="0" collapsed="false">
      <c r="A3" s="8" t="n">
        <v>2</v>
      </c>
      <c r="B3" s="8" t="s">
        <v>22</v>
      </c>
      <c r="C3" s="8" t="s">
        <v>23</v>
      </c>
      <c r="D3" s="9" t="s">
        <v>24</v>
      </c>
      <c r="E3" s="9" t="n">
        <v>4</v>
      </c>
      <c r="F3" s="9" t="s">
        <v>21</v>
      </c>
    </row>
    <row r="4" customFormat="false" ht="39.75" hidden="false" customHeight="true" outlineLevel="0" collapsed="false">
      <c r="A4" s="8" t="n">
        <v>3</v>
      </c>
      <c r="B4" s="8" t="s">
        <v>25</v>
      </c>
      <c r="C4" s="8" t="s">
        <v>19</v>
      </c>
      <c r="D4" s="9" t="s">
        <v>26</v>
      </c>
      <c r="E4" s="9" t="n">
        <v>4</v>
      </c>
      <c r="F4" s="9" t="s">
        <v>21</v>
      </c>
    </row>
    <row r="5" customFormat="false" ht="39.75" hidden="false" customHeight="true" outlineLevel="0" collapsed="false">
      <c r="A5" s="8" t="n">
        <v>4</v>
      </c>
      <c r="B5" s="8" t="s">
        <v>27</v>
      </c>
      <c r="C5" s="8" t="s">
        <v>28</v>
      </c>
      <c r="D5" s="9" t="s">
        <v>29</v>
      </c>
      <c r="E5" s="9" t="n">
        <v>4</v>
      </c>
      <c r="F5" s="9" t="s">
        <v>21</v>
      </c>
    </row>
    <row r="6" customFormat="false" ht="39.75" hidden="false" customHeight="true" outlineLevel="0" collapsed="false">
      <c r="A6" s="8" t="n">
        <v>5</v>
      </c>
      <c r="B6" s="8" t="s">
        <v>30</v>
      </c>
      <c r="C6" s="8" t="s">
        <v>31</v>
      </c>
      <c r="D6" s="9" t="s">
        <v>32</v>
      </c>
      <c r="E6" s="9" t="n">
        <v>4</v>
      </c>
      <c r="F6" s="9" t="s">
        <v>21</v>
      </c>
    </row>
    <row r="7" customFormat="false" ht="39.75" hidden="false" customHeight="true" outlineLevel="0" collapsed="false">
      <c r="A7" s="8" t="n">
        <v>6</v>
      </c>
      <c r="B7" s="8" t="s">
        <v>33</v>
      </c>
      <c r="C7" s="8" t="s">
        <v>34</v>
      </c>
      <c r="D7" s="9" t="s">
        <v>35</v>
      </c>
      <c r="E7" s="9" t="n">
        <v>4</v>
      </c>
      <c r="F7" s="9" t="s">
        <v>36</v>
      </c>
    </row>
    <row r="8" customFormat="false" ht="39.75" hidden="false" customHeight="true" outlineLevel="0" collapsed="false">
      <c r="A8" s="8" t="n">
        <v>7</v>
      </c>
      <c r="B8" s="8" t="s">
        <v>37</v>
      </c>
      <c r="C8" s="8" t="s">
        <v>38</v>
      </c>
      <c r="D8" s="9" t="s">
        <v>39</v>
      </c>
      <c r="E8" s="9" t="n">
        <v>4</v>
      </c>
      <c r="F8" s="9" t="s">
        <v>21</v>
      </c>
    </row>
    <row r="9" customFormat="false" ht="39.75" hidden="false" customHeight="true" outlineLevel="0" collapsed="false">
      <c r="A9" s="8" t="n">
        <v>8</v>
      </c>
      <c r="B9" s="8" t="s">
        <v>40</v>
      </c>
      <c r="C9" s="8" t="s">
        <v>34</v>
      </c>
      <c r="D9" s="9" t="s">
        <v>41</v>
      </c>
      <c r="E9" s="9" t="n">
        <v>4</v>
      </c>
      <c r="F9" s="9" t="s">
        <v>21</v>
      </c>
    </row>
    <row r="10" customFormat="false" ht="39.75" hidden="false" customHeight="true" outlineLevel="0" collapsed="false">
      <c r="A10" s="8" t="n">
        <v>9</v>
      </c>
      <c r="B10" s="8" t="s">
        <v>42</v>
      </c>
      <c r="C10" s="8" t="s">
        <v>34</v>
      </c>
      <c r="D10" s="9" t="s">
        <v>43</v>
      </c>
      <c r="E10" s="9" t="n">
        <v>4</v>
      </c>
      <c r="F10" s="9" t="s">
        <v>21</v>
      </c>
    </row>
    <row r="11" customFormat="false" ht="39.75" hidden="false" customHeight="true" outlineLevel="0" collapsed="false">
      <c r="A11" s="8" t="n">
        <v>10</v>
      </c>
      <c r="B11" s="8" t="s">
        <v>44</v>
      </c>
      <c r="C11" s="8" t="s">
        <v>45</v>
      </c>
      <c r="D11" s="9" t="s">
        <v>46</v>
      </c>
      <c r="E11" s="9" t="n">
        <v>4</v>
      </c>
      <c r="F11" s="9" t="s">
        <v>21</v>
      </c>
    </row>
    <row r="12" customFormat="false" ht="39.75" hidden="false" customHeight="true" outlineLevel="0" collapsed="false">
      <c r="A12" s="8" t="n">
        <v>11</v>
      </c>
      <c r="B12" s="8" t="s">
        <v>47</v>
      </c>
      <c r="C12" s="8" t="s">
        <v>48</v>
      </c>
      <c r="D12" s="9" t="s">
        <v>49</v>
      </c>
      <c r="E12" s="9" t="n">
        <v>4</v>
      </c>
      <c r="F12" s="9" t="s">
        <v>21</v>
      </c>
    </row>
    <row r="13" customFormat="false" ht="39.75" hidden="false" customHeight="true" outlineLevel="0" collapsed="false">
      <c r="A13" s="8" t="n">
        <v>12</v>
      </c>
      <c r="B13" s="8" t="s">
        <v>50</v>
      </c>
      <c r="C13" s="8" t="s">
        <v>48</v>
      </c>
      <c r="D13" s="9" t="s">
        <v>49</v>
      </c>
      <c r="E13" s="9" t="n">
        <v>4</v>
      </c>
      <c r="F13" s="9" t="s">
        <v>21</v>
      </c>
    </row>
    <row r="14" customFormat="false" ht="39.75" hidden="false" customHeight="true" outlineLevel="0" collapsed="false">
      <c r="A14" s="8" t="n">
        <v>13</v>
      </c>
      <c r="B14" s="8" t="s">
        <v>51</v>
      </c>
      <c r="C14" s="8" t="s">
        <v>52</v>
      </c>
      <c r="D14" s="9" t="s">
        <v>53</v>
      </c>
      <c r="E14" s="9" t="n">
        <v>4</v>
      </c>
      <c r="F14" s="9" t="s">
        <v>21</v>
      </c>
    </row>
    <row r="15" customFormat="false" ht="39.75" hidden="false" customHeight="true" outlineLevel="0" collapsed="false">
      <c r="A15" s="8" t="n">
        <v>14</v>
      </c>
      <c r="B15" s="8" t="s">
        <v>54</v>
      </c>
      <c r="C15" s="8" t="s">
        <v>55</v>
      </c>
      <c r="D15" s="9" t="s">
        <v>56</v>
      </c>
      <c r="E15" s="9" t="n">
        <v>4</v>
      </c>
      <c r="F15" s="9" t="s">
        <v>21</v>
      </c>
    </row>
    <row r="16" customFormat="false" ht="39.75" hidden="false" customHeight="true" outlineLevel="0" collapsed="false">
      <c r="A16" s="8" t="n">
        <v>15</v>
      </c>
      <c r="B16" s="8" t="s">
        <v>57</v>
      </c>
      <c r="C16" s="8" t="s">
        <v>58</v>
      </c>
      <c r="D16" s="9" t="s">
        <v>59</v>
      </c>
      <c r="E16" s="9" t="n">
        <v>4</v>
      </c>
      <c r="F16" s="9" t="s">
        <v>21</v>
      </c>
    </row>
    <row r="17" customFormat="false" ht="39.75" hidden="false" customHeight="true" outlineLevel="0" collapsed="false">
      <c r="A17" s="8" t="n">
        <v>16</v>
      </c>
      <c r="B17" s="8" t="s">
        <v>60</v>
      </c>
      <c r="C17" s="8" t="s">
        <v>61</v>
      </c>
      <c r="D17" s="9" t="s">
        <v>62</v>
      </c>
      <c r="E17" s="9" t="n">
        <v>4</v>
      </c>
      <c r="F17" s="9" t="s">
        <v>21</v>
      </c>
    </row>
    <row r="18" customFormat="false" ht="39.75" hidden="false" customHeight="true" outlineLevel="0" collapsed="false">
      <c r="A18" s="8" t="n">
        <v>17</v>
      </c>
      <c r="B18" s="8" t="s">
        <v>63</v>
      </c>
      <c r="C18" s="8" t="s">
        <v>64</v>
      </c>
      <c r="D18" s="9" t="s">
        <v>65</v>
      </c>
      <c r="E18" s="9" t="n">
        <v>4</v>
      </c>
      <c r="F18" s="9" t="s">
        <v>21</v>
      </c>
    </row>
    <row r="19" customFormat="false" ht="39.75" hidden="false" customHeight="true" outlineLevel="0" collapsed="false">
      <c r="A19" s="8" t="n">
        <v>18</v>
      </c>
      <c r="B19" s="8" t="s">
        <v>66</v>
      </c>
      <c r="C19" s="8" t="s">
        <v>67</v>
      </c>
      <c r="D19" s="9" t="s">
        <v>68</v>
      </c>
      <c r="E19" s="9" t="n">
        <v>4</v>
      </c>
      <c r="F19" s="9" t="s">
        <v>21</v>
      </c>
    </row>
    <row r="20" customFormat="false" ht="39.75" hidden="false" customHeight="true" outlineLevel="0" collapsed="false">
      <c r="A20" s="8" t="n">
        <v>19</v>
      </c>
      <c r="B20" s="8" t="s">
        <v>69</v>
      </c>
      <c r="C20" s="8" t="s">
        <v>70</v>
      </c>
      <c r="D20" s="9" t="s">
        <v>71</v>
      </c>
      <c r="E20" s="9" t="n">
        <v>4</v>
      </c>
      <c r="F20" s="9" t="s">
        <v>21</v>
      </c>
    </row>
    <row r="21" customFormat="false" ht="39.75" hidden="false" customHeight="true" outlineLevel="0" collapsed="false">
      <c r="A21" s="8" t="n">
        <v>20</v>
      </c>
      <c r="B21" s="8" t="s">
        <v>72</v>
      </c>
      <c r="C21" s="8" t="s">
        <v>73</v>
      </c>
      <c r="D21" s="9" t="s">
        <v>74</v>
      </c>
      <c r="E21" s="9" t="n">
        <v>4</v>
      </c>
      <c r="F21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3.75" hidden="false" customHeight="true" outlineLevel="0" collapsed="false">
      <c r="A1" s="5" t="s">
        <v>12</v>
      </c>
      <c r="B1" s="5" t="s">
        <v>13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customFormat="false" ht="45.75" hidden="false" customHeight="true" outlineLevel="0" collapsed="false">
      <c r="A2" s="6" t="n">
        <v>1</v>
      </c>
      <c r="B2" s="6" t="s">
        <v>80</v>
      </c>
      <c r="C2" s="6" t="s">
        <v>81</v>
      </c>
      <c r="D2" s="6" t="s">
        <v>21</v>
      </c>
      <c r="E2" s="6" t="s">
        <v>82</v>
      </c>
      <c r="F2" s="6" t="s">
        <v>36</v>
      </c>
      <c r="G2" s="6" t="s">
        <v>36</v>
      </c>
    </row>
    <row r="3" customFormat="false" ht="45.75" hidden="false" customHeight="true" outlineLevel="0" collapsed="false">
      <c r="A3" s="8" t="n">
        <v>2</v>
      </c>
      <c r="B3" s="8" t="s">
        <v>83</v>
      </c>
      <c r="C3" s="8" t="s">
        <v>84</v>
      </c>
      <c r="D3" s="8" t="s">
        <v>21</v>
      </c>
      <c r="E3" s="8" t="s">
        <v>85</v>
      </c>
      <c r="F3" s="8" t="s">
        <v>36</v>
      </c>
      <c r="G3" s="8" t="s">
        <v>36</v>
      </c>
    </row>
    <row r="4" customFormat="false" ht="45.75" hidden="false" customHeight="true" outlineLevel="0" collapsed="false">
      <c r="A4" s="8" t="n">
        <v>3</v>
      </c>
      <c r="B4" s="8" t="s">
        <v>25</v>
      </c>
      <c r="C4" s="8" t="s">
        <v>86</v>
      </c>
      <c r="D4" s="8" t="s">
        <v>21</v>
      </c>
      <c r="E4" s="8" t="s">
        <v>87</v>
      </c>
      <c r="F4" s="8" t="s">
        <v>36</v>
      </c>
      <c r="G4" s="8" t="s">
        <v>36</v>
      </c>
    </row>
    <row r="5" customFormat="false" ht="45.75" hidden="false" customHeight="true" outlineLevel="0" collapsed="false">
      <c r="A5" s="8" t="n">
        <v>4</v>
      </c>
      <c r="B5" s="8" t="s">
        <v>88</v>
      </c>
      <c r="C5" s="8" t="s">
        <v>89</v>
      </c>
      <c r="D5" s="8" t="s">
        <v>21</v>
      </c>
      <c r="E5" s="8" t="s">
        <v>90</v>
      </c>
      <c r="F5" s="8" t="s">
        <v>36</v>
      </c>
      <c r="G5" s="8" t="s">
        <v>36</v>
      </c>
    </row>
    <row r="6" customFormat="false" ht="45.75" hidden="false" customHeight="true" outlineLevel="0" collapsed="false">
      <c r="A6" s="8" t="n">
        <v>5</v>
      </c>
      <c r="B6" s="8" t="s">
        <v>91</v>
      </c>
      <c r="C6" s="8" t="s">
        <v>92</v>
      </c>
      <c r="D6" s="8" t="s">
        <v>21</v>
      </c>
      <c r="E6" s="8" t="s">
        <v>93</v>
      </c>
      <c r="F6" s="8" t="s">
        <v>36</v>
      </c>
      <c r="G6" s="8" t="s">
        <v>36</v>
      </c>
    </row>
    <row r="7" customFormat="false" ht="45.75" hidden="false" customHeight="true" outlineLevel="0" collapsed="false">
      <c r="A7" s="8" t="n">
        <v>6</v>
      </c>
      <c r="B7" s="8" t="s">
        <v>94</v>
      </c>
      <c r="C7" s="8" t="s">
        <v>95</v>
      </c>
      <c r="D7" s="8" t="s">
        <v>21</v>
      </c>
      <c r="E7" s="8" t="s">
        <v>96</v>
      </c>
      <c r="F7" s="8" t="s">
        <v>36</v>
      </c>
      <c r="G7" s="8" t="s">
        <v>36</v>
      </c>
    </row>
    <row r="8" customFormat="false" ht="45.75" hidden="false" customHeight="true" outlineLevel="0" collapsed="false">
      <c r="A8" s="8" t="n">
        <v>7</v>
      </c>
      <c r="B8" s="8" t="s">
        <v>97</v>
      </c>
      <c r="C8" s="8" t="s">
        <v>98</v>
      </c>
      <c r="D8" s="8" t="s">
        <v>21</v>
      </c>
      <c r="E8" s="8" t="s">
        <v>99</v>
      </c>
      <c r="F8" s="8" t="s">
        <v>36</v>
      </c>
      <c r="G8" s="8" t="s">
        <v>36</v>
      </c>
    </row>
    <row r="9" customFormat="false" ht="45.75" hidden="false" customHeight="true" outlineLevel="0" collapsed="false">
      <c r="A9" s="8" t="n">
        <v>8</v>
      </c>
      <c r="B9" s="8" t="s">
        <v>100</v>
      </c>
      <c r="C9" s="8" t="s">
        <v>101</v>
      </c>
      <c r="D9" s="8" t="s">
        <v>21</v>
      </c>
      <c r="E9" s="8" t="s">
        <v>102</v>
      </c>
      <c r="F9" s="8" t="s">
        <v>36</v>
      </c>
      <c r="G9" s="8" t="s">
        <v>36</v>
      </c>
    </row>
    <row r="10" customFormat="false" ht="45.75" hidden="false" customHeight="true" outlineLevel="0" collapsed="false">
      <c r="A10" s="8" t="n">
        <v>9</v>
      </c>
      <c r="B10" s="8" t="s">
        <v>103</v>
      </c>
      <c r="C10" s="8" t="s">
        <v>104</v>
      </c>
      <c r="D10" s="8" t="s">
        <v>21</v>
      </c>
      <c r="E10" s="8" t="s">
        <v>105</v>
      </c>
      <c r="F10" s="8" t="s">
        <v>36</v>
      </c>
      <c r="G10" s="8" t="s">
        <v>36</v>
      </c>
    </row>
    <row r="11" customFormat="false" ht="45.75" hidden="false" customHeight="true" outlineLevel="0" collapsed="false">
      <c r="A11" s="8" t="n">
        <v>10</v>
      </c>
      <c r="B11" s="8" t="s">
        <v>106</v>
      </c>
      <c r="C11" s="8" t="s">
        <v>107</v>
      </c>
      <c r="D11" s="8" t="s">
        <v>21</v>
      </c>
      <c r="E11" s="8" t="s">
        <v>108</v>
      </c>
      <c r="F11" s="8" t="s">
        <v>36</v>
      </c>
      <c r="G11" s="8" t="s">
        <v>36</v>
      </c>
    </row>
    <row r="12" customFormat="false" ht="45.75" hidden="false" customHeight="true" outlineLevel="0" collapsed="false">
      <c r="A12" s="8" t="n">
        <v>11</v>
      </c>
      <c r="B12" s="8" t="s">
        <v>109</v>
      </c>
      <c r="C12" s="8" t="s">
        <v>110</v>
      </c>
      <c r="D12" s="8" t="s">
        <v>21</v>
      </c>
      <c r="E12" s="8" t="s">
        <v>111</v>
      </c>
      <c r="F12" s="8" t="s">
        <v>36</v>
      </c>
      <c r="G12" s="8" t="s">
        <v>36</v>
      </c>
    </row>
    <row r="13" customFormat="false" ht="45.75" hidden="false" customHeight="true" outlineLevel="0" collapsed="false">
      <c r="A13" s="8" t="n">
        <v>12</v>
      </c>
      <c r="B13" s="8" t="s">
        <v>112</v>
      </c>
      <c r="C13" s="8" t="s">
        <v>113</v>
      </c>
      <c r="D13" s="8" t="s">
        <v>21</v>
      </c>
      <c r="E13" s="8" t="s">
        <v>114</v>
      </c>
      <c r="F13" s="8" t="s">
        <v>36</v>
      </c>
      <c r="G13" s="8" t="s">
        <v>36</v>
      </c>
    </row>
    <row r="14" customFormat="false" ht="45.75" hidden="false" customHeight="true" outlineLevel="0" collapsed="false">
      <c r="A14" s="8" t="n">
        <v>13</v>
      </c>
      <c r="B14" s="8" t="s">
        <v>115</v>
      </c>
      <c r="C14" s="8" t="s">
        <v>116</v>
      </c>
      <c r="D14" s="8" t="s">
        <v>21</v>
      </c>
      <c r="E14" s="8" t="s">
        <v>117</v>
      </c>
      <c r="F14" s="8" t="s">
        <v>36</v>
      </c>
      <c r="G14" s="8" t="s">
        <v>36</v>
      </c>
    </row>
    <row r="15" customFormat="false" ht="45.75" hidden="false" customHeight="true" outlineLevel="0" collapsed="false">
      <c r="A15" s="8" t="n">
        <v>14</v>
      </c>
      <c r="B15" s="8" t="s">
        <v>118</v>
      </c>
      <c r="C15" s="8" t="s">
        <v>119</v>
      </c>
      <c r="D15" s="8" t="s">
        <v>21</v>
      </c>
      <c r="E15" s="8" t="s">
        <v>120</v>
      </c>
      <c r="F15" s="8" t="s">
        <v>36</v>
      </c>
      <c r="G15" s="8" t="s">
        <v>36</v>
      </c>
    </row>
    <row r="16" customFormat="false" ht="45.75" hidden="false" customHeight="true" outlineLevel="0" collapsed="false">
      <c r="A16" s="8" t="n">
        <v>15</v>
      </c>
      <c r="B16" s="8" t="s">
        <v>121</v>
      </c>
      <c r="C16" s="8" t="s">
        <v>122</v>
      </c>
      <c r="D16" s="8" t="s">
        <v>21</v>
      </c>
      <c r="E16" s="8" t="s">
        <v>123</v>
      </c>
      <c r="F16" s="8" t="s">
        <v>36</v>
      </c>
      <c r="G16" s="8" t="s">
        <v>36</v>
      </c>
    </row>
    <row r="17" customFormat="false" ht="45.75" hidden="false" customHeight="true" outlineLevel="0" collapsed="false">
      <c r="A17" s="10" t="n">
        <v>16</v>
      </c>
      <c r="B17" s="8" t="s">
        <v>124</v>
      </c>
      <c r="C17" s="8" t="s">
        <v>125</v>
      </c>
      <c r="D17" s="8" t="s">
        <v>21</v>
      </c>
      <c r="E17" s="8" t="s">
        <v>126</v>
      </c>
      <c r="F17" s="8" t="s">
        <v>36</v>
      </c>
      <c r="G17" s="8" t="s">
        <v>36</v>
      </c>
    </row>
    <row r="18" customFormat="false" ht="45.75" hidden="false" customHeight="true" outlineLevel="0" collapsed="false">
      <c r="A18" s="10" t="n">
        <v>17</v>
      </c>
      <c r="B18" s="8" t="s">
        <v>127</v>
      </c>
      <c r="C18" s="8" t="s">
        <v>128</v>
      </c>
      <c r="D18" s="8" t="s">
        <v>21</v>
      </c>
      <c r="E18" s="8" t="s">
        <v>129</v>
      </c>
      <c r="F18" s="8" t="s">
        <v>36</v>
      </c>
      <c r="G18" s="8" t="s">
        <v>36</v>
      </c>
    </row>
    <row r="19" customFormat="false" ht="45.75" hidden="false" customHeight="true" outlineLevel="0" collapsed="false">
      <c r="A19" s="10" t="n">
        <v>18</v>
      </c>
      <c r="B19" s="8" t="s">
        <v>130</v>
      </c>
      <c r="C19" s="8" t="s">
        <v>131</v>
      </c>
      <c r="D19" s="8" t="s">
        <v>21</v>
      </c>
      <c r="E19" s="8" t="s">
        <v>132</v>
      </c>
      <c r="F19" s="8" t="s">
        <v>36</v>
      </c>
      <c r="G19" s="8" t="s">
        <v>36</v>
      </c>
    </row>
    <row r="20" customFormat="false" ht="45.75" hidden="false" customHeight="true" outlineLevel="0" collapsed="false">
      <c r="A20" s="10" t="n">
        <v>19</v>
      </c>
      <c r="B20" s="8" t="s">
        <v>133</v>
      </c>
      <c r="C20" s="8" t="s">
        <v>134</v>
      </c>
      <c r="D20" s="8" t="s">
        <v>21</v>
      </c>
      <c r="E20" s="8" t="s">
        <v>135</v>
      </c>
      <c r="F20" s="8" t="s">
        <v>36</v>
      </c>
      <c r="G20" s="8" t="s">
        <v>36</v>
      </c>
    </row>
    <row r="21" customFormat="false" ht="45.75" hidden="false" customHeight="true" outlineLevel="0" collapsed="false">
      <c r="A21" s="10" t="n">
        <v>20</v>
      </c>
      <c r="B21" s="8" t="s">
        <v>136</v>
      </c>
      <c r="C21" s="8" t="s">
        <v>137</v>
      </c>
      <c r="D21" s="8" t="s">
        <v>21</v>
      </c>
      <c r="E21" s="8" t="s">
        <v>138</v>
      </c>
      <c r="F21" s="8" t="s">
        <v>36</v>
      </c>
      <c r="G21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6" min="5" style="1" width="10"/>
  </cols>
  <sheetData>
    <row r="1" customFormat="false" ht="17.25" hidden="false" customHeight="true" outlineLevel="0" collapsed="false">
      <c r="A1" s="11" t="s">
        <v>139</v>
      </c>
      <c r="B1" s="11"/>
      <c r="C1" s="11"/>
      <c r="D1" s="11"/>
    </row>
    <row r="3" customFormat="false" ht="21.75" hidden="false" customHeight="true" outlineLevel="0" collapsed="false">
      <c r="A3" s="12" t="s">
        <v>140</v>
      </c>
      <c r="B3" s="12"/>
      <c r="C3" s="12"/>
      <c r="D3" s="13" t="n">
        <f aca="false">IFERROR(COUNTIF(Retrieval!F2:F21,"Y")/COUNTA(Retrieval!B2:B21),"fill in Retrieval tab")</f>
        <v>0.95</v>
      </c>
    </row>
    <row r="4" customFormat="false" ht="21.75" hidden="false" customHeight="true" outlineLevel="0" collapsed="false">
      <c r="A4" s="12" t="s">
        <v>141</v>
      </c>
      <c r="B4" s="12"/>
      <c r="C4" s="12"/>
      <c r="D4" s="14" t="s">
        <v>142</v>
      </c>
    </row>
    <row r="5" customFormat="false" ht="21.75" hidden="false" customHeight="true" outlineLevel="0" collapsed="false">
      <c r="A5" s="12" t="s">
        <v>143</v>
      </c>
      <c r="B5" s="12"/>
      <c r="C5" s="12"/>
      <c r="D5" s="15" t="n">
        <f aca="false">COUNTA(Retrieval!B2:B21)</f>
        <v>20</v>
      </c>
    </row>
    <row r="7" customFormat="false" ht="21.75" hidden="false" customHeight="true" outlineLevel="0" collapsed="false">
      <c r="A7" s="12" t="s">
        <v>144</v>
      </c>
      <c r="B7" s="12"/>
      <c r="C7" s="12"/>
      <c r="D7" s="13" t="n">
        <f aca="false">IFERROR(COUNTIF(Hallucination!D2:D21,"Y")/COUNTA(Hallucination!B2:B21),"fill in Hallucination tab")</f>
        <v>1</v>
      </c>
    </row>
    <row r="8" customFormat="false" ht="21.75" hidden="false" customHeight="true" outlineLevel="0" collapsed="false">
      <c r="A8" s="12" t="s">
        <v>145</v>
      </c>
      <c r="B8" s="12"/>
      <c r="C8" s="12"/>
      <c r="D8" s="13" t="n">
        <f aca="false">IFERROR(COUNTIF(Hallucination!F2:F21,"Y")/COUNTA(Hallucination!B2:B21),"fill in Hallucination tab")</f>
        <v>0</v>
      </c>
    </row>
    <row r="9" customFormat="false" ht="21.75" hidden="false" customHeight="true" outlineLevel="0" collapsed="false">
      <c r="A9" s="12" t="s">
        <v>146</v>
      </c>
      <c r="B9" s="12"/>
      <c r="C9" s="12"/>
      <c r="D9" s="15" t="n">
        <f aca="false">IFERROR(COUNTIF(Hallucination!G2:G21,"Y")/COUNTA(Hallucination!B2:B21),"fill in Hallucination tab")</f>
        <v>0</v>
      </c>
    </row>
    <row r="10" customFormat="false" ht="21.75" hidden="false" customHeight="true" outlineLevel="0" collapsed="false">
      <c r="A10" s="12" t="s">
        <v>147</v>
      </c>
      <c r="B10" s="12"/>
      <c r="C10" s="12"/>
      <c r="D10" s="13" t="n">
        <f aca="false">COUNTA(Hallucination!B2:B21)</f>
        <v>20</v>
      </c>
    </row>
    <row r="12" customFormat="false" ht="39.75" hidden="false" customHeight="true" outlineLevel="0" collapsed="false">
      <c r="A12" s="16" t="s">
        <v>148</v>
      </c>
      <c r="B12" s="16"/>
      <c r="C12" s="16"/>
      <c r="D12" s="16"/>
      <c r="E12" s="16"/>
      <c r="F12" s="16"/>
    </row>
    <row r="14" customFormat="false" ht="54.75" hidden="false" customHeight="true" outlineLevel="0" collapsed="false">
      <c r="A14" s="17" t="s">
        <v>149</v>
      </c>
      <c r="B14" s="17"/>
      <c r="C14" s="17"/>
      <c r="D14" s="17"/>
      <c r="E14" s="17"/>
      <c r="F14" s="17"/>
    </row>
  </sheetData>
  <mergeCells count="10">
    <mergeCell ref="A1:D1"/>
    <mergeCell ref="A3:C3"/>
    <mergeCell ref="A4:C4"/>
    <mergeCell ref="A5:C5"/>
    <mergeCell ref="A7:C7"/>
    <mergeCell ref="A8:C8"/>
    <mergeCell ref="A9:C9"/>
    <mergeCell ref="A10:C10"/>
    <mergeCell ref="A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2026-08-15T15:40:52Z</dcterms:created>
  <dc:creator>openpyxl</dc:creator>
  <dc:description/>
  <dc:language>en-US</dc:language>
  <cp:lastModifiedBy/>
  <dcterms:modified xsi:type="dcterms:W3CDTF">2026-08-19T01:57:43Z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